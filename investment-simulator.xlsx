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"/>
    </mc:Choice>
  </mc:AlternateContent>
  <xr:revisionPtr revIDLastSave="0" documentId="13_ncr:1_{06E86A7E-1AB7-44D0-86A2-060F44F5E030}" xr6:coauthVersionLast="47" xr6:coauthVersionMax="47" xr10:uidLastSave="{00000000-0000-0000-0000-000000000000}"/>
  <bookViews>
    <workbookView xWindow="0" yWindow="0" windowWidth="14400" windowHeight="15600" tabRatio="104" xr2:uid="{6C7E7457-543F-45D9-B764-B8825AF62E46}"/>
  </bookViews>
  <sheets>
    <sheet name="Sheet1" sheetId="1" r:id="rId1"/>
    <sheet name="Planilha1" sheetId="2" r:id="rId2"/>
  </sheets>
  <definedNames>
    <definedName name="_xlnm._FilterDatabase" localSheetId="0" hidden="1">Sheet1!$B$32:$C$32</definedName>
    <definedName name="aporte">Sheet1!$D$17</definedName>
    <definedName name="patrimonio">Sheet1!$D$20</definedName>
    <definedName name="qtd_anos">Sheet1!$D$18</definedName>
    <definedName name="rendimento_carteira">Sheet1!$D$13</definedName>
    <definedName name="salario">Sheet1!$D$12</definedName>
    <definedName name="sugestao_investimento">Sheet1!$D$14</definedName>
    <definedName name="taxa_mensal">Sheet1!$D$19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7" i="2"/>
  <c r="B19" i="2"/>
  <c r="B20" i="2"/>
  <c r="B21" i="2"/>
  <c r="B22" i="2"/>
  <c r="B23" i="2"/>
  <c r="B24" i="2"/>
  <c r="B14" i="2"/>
  <c r="B15" i="2"/>
  <c r="B16" i="2"/>
  <c r="B17" i="2"/>
  <c r="B18" i="2"/>
  <c r="B13" i="2"/>
  <c r="B8" i="2"/>
  <c r="B9" i="2"/>
  <c r="B10" i="2"/>
  <c r="B11" i="2"/>
  <c r="B12" i="2"/>
  <c r="B7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0" i="1" l="1"/>
  <c r="D37" i="1"/>
  <c r="D39" i="1"/>
  <c r="D36" i="1"/>
  <c r="D38" i="1"/>
  <c r="D41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<sst xmlns="http://schemas.openxmlformats.org/spreadsheetml/2006/main" count="71" uniqueCount="34">
  <si>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</si>
  <si>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</si>
  <si>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</t>
  </si>
  <si>
    <t>Patrimônio acumulado</t>
  </si>
  <si>
    <t>Dividendos mensais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</si>
  <si>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</si>
  <si>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</si>
  <si>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</si>
  <si>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</si>
  <si>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</si>
  <si>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</si>
  <si>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</si>
  <si>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</si>
  <si>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Salário</t>
  </si>
  <si>
    <t>Rendimento Carteira</t>
  </si>
  <si>
    <t>Sugestão de Investimento</t>
  </si>
  <si>
    <t>CONFIGURAÇÕES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</si>
  <si>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</si>
  <si>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</si>
  <si>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</si>
  <si>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</si>
  <si>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</si>
  <si>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</si>
  <si>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</si>
  <si>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</si>
  <si>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</si>
  <si>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</si>
  <si>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</si>
  <si>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</si>
  <si>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</si>
  <si>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CHAVE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</si>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</sst>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R$-416]\ #,##0.00;\-[$R$-416]\ #,##0.00"/>
    <numFmt numFmtId="165" formatCode="[$R$-416]\ #,##0.00"/>
    <numFmt numFmtId="166" formatCode="[$R$-416]\ #,##0.00;[Red]\-[$R$-416]\ #,##0.00"/>
  </numFmts>
  <fonts count="12" x14ac:knownFonts="1">
    <font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3" applyNumberFormat="0" applyAlignment="0" applyProtection="0"/>
  </cellStyleXfs>
  <cellXfs count="54">
    <xf numFmtId="0" fontId="0" fillId="0" borderId="0" xfId="0"/>
    <xf numFmtId="0" fontId="7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left" indent="3"/>
    </xf>
    <xf numFmtId="0" fontId="10" fillId="7" borderId="11" xfId="0" applyFont="1" applyFill="1" applyBorder="1" applyAlignment="1">
      <alignment horizontal="left" indent="3"/>
    </xf>
    <xf numFmtId="165" fontId="8" fillId="0" borderId="12" xfId="1" applyNumberFormat="1" applyFont="1" applyBorder="1" applyAlignment="1">
      <alignment horizontal="center"/>
    </xf>
    <xf numFmtId="0" fontId="10" fillId="7" borderId="4" xfId="0" applyFont="1" applyFill="1" applyBorder="1" applyAlignment="1">
      <alignment horizontal="left" indent="3"/>
    </xf>
    <xf numFmtId="0" fontId="10" fillId="7" borderId="13" xfId="0" applyFont="1" applyFill="1" applyBorder="1" applyAlignment="1">
      <alignment horizontal="left" indent="3"/>
    </xf>
    <xf numFmtId="10" fontId="8" fillId="0" borderId="5" xfId="0" applyNumberFormat="1" applyFont="1" applyBorder="1" applyAlignment="1">
      <alignment horizontal="center"/>
    </xf>
    <xf numFmtId="0" fontId="10" fillId="7" borderId="6" xfId="0" applyFont="1" applyFill="1" applyBorder="1" applyAlignment="1">
      <alignment horizontal="left" indent="3"/>
    </xf>
    <xf numFmtId="0" fontId="10" fillId="7" borderId="14" xfId="0" applyFont="1" applyFill="1" applyBorder="1" applyAlignment="1">
      <alignment horizontal="left" indent="3"/>
    </xf>
    <xf numFmtId="0" fontId="2" fillId="0" borderId="5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11" fillId="7" borderId="4" xfId="0" applyFont="1" applyFill="1" applyBorder="1" applyAlignment="1">
      <alignment horizontal="left" indent="3"/>
    </xf>
    <xf numFmtId="0" fontId="11" fillId="7" borderId="13" xfId="0" applyFont="1" applyFill="1" applyBorder="1" applyAlignment="1">
      <alignment horizontal="left" indent="3"/>
    </xf>
    <xf numFmtId="165" fontId="2" fillId="7" borderId="5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left" indent="3"/>
    </xf>
    <xf numFmtId="0" fontId="11" fillId="7" borderId="14" xfId="0" applyFont="1" applyFill="1" applyBorder="1" applyAlignment="1">
      <alignment horizontal="left" indent="3"/>
    </xf>
    <xf numFmtId="165" fontId="2" fillId="7" borderId="7" xfId="0" applyNumberFormat="1" applyFont="1" applyFill="1" applyBorder="1" applyAlignment="1">
      <alignment horizontal="center"/>
    </xf>
    <xf numFmtId="0" fontId="10" fillId="5" borderId="10" xfId="0" applyFont="1" applyFill="1" applyBorder="1" applyAlignment="1">
      <alignment horizontal="left" indent="3"/>
    </xf>
    <xf numFmtId="166" fontId="9" fillId="5" borderId="11" xfId="0" applyNumberFormat="1" applyFont="1" applyFill="1" applyBorder="1" applyAlignment="1">
      <alignment horizontal="center"/>
    </xf>
    <xf numFmtId="166" fontId="9" fillId="5" borderId="12" xfId="0" applyNumberFormat="1" applyFont="1" applyFill="1" applyBorder="1" applyAlignment="1">
      <alignment horizontal="center"/>
    </xf>
    <xf numFmtId="0" fontId="10" fillId="5" borderId="4" xfId="0" applyFont="1" applyFill="1" applyBorder="1" applyAlignment="1">
      <alignment horizontal="left" indent="3"/>
    </xf>
    <xf numFmtId="166" fontId="9" fillId="5" borderId="13" xfId="0" applyNumberFormat="1" applyFont="1" applyFill="1" applyBorder="1" applyAlignment="1">
      <alignment horizontal="center"/>
    </xf>
    <xf numFmtId="166" fontId="9" fillId="5" borderId="5" xfId="0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left" indent="3"/>
    </xf>
    <xf numFmtId="166" fontId="9" fillId="5" borderId="14" xfId="0" applyNumberFormat="1" applyFont="1" applyFill="1" applyBorder="1" applyAlignment="1">
      <alignment horizontal="center"/>
    </xf>
    <xf numFmtId="166" fontId="9" fillId="5" borderId="7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8" fillId="8" borderId="7" xfId="1" applyNumberFormat="1" applyFont="1" applyFill="1" applyBorder="1" applyAlignment="1">
      <alignment horizontal="center"/>
    </xf>
    <xf numFmtId="0" fontId="10" fillId="8" borderId="4" xfId="0" applyFont="1" applyFill="1" applyBorder="1" applyAlignment="1">
      <alignment horizontal="left" indent="3"/>
    </xf>
    <xf numFmtId="0" fontId="10" fillId="8" borderId="13" xfId="0" applyFont="1" applyFill="1" applyBorder="1" applyAlignment="1">
      <alignment horizontal="left" indent="3"/>
    </xf>
    <xf numFmtId="164" fontId="2" fillId="0" borderId="5" xfId="0" applyNumberFormat="1" applyFont="1" applyBorder="1" applyAlignment="1">
      <alignment horizontal="center"/>
    </xf>
    <xf numFmtId="0" fontId="4" fillId="3" borderId="0" xfId="2"/>
    <xf numFmtId="0" fontId="0" fillId="7" borderId="0" xfId="0" applyFill="1"/>
    <xf numFmtId="165" fontId="0" fillId="7" borderId="0" xfId="0" applyNumberFormat="1" applyFill="1" applyAlignment="1">
      <alignment horizontal="center"/>
    </xf>
    <xf numFmtId="0" fontId="4" fillId="3" borderId="0" xfId="2" applyAlignment="1">
      <alignment horizontal="center"/>
    </xf>
    <xf numFmtId="165" fontId="0" fillId="0" borderId="0" xfId="0" applyNumberFormat="1"/>
    <xf numFmtId="0" fontId="6" fillId="5" borderId="0" xfId="0" applyFont="1" applyFill="1" applyAlignment="1">
      <alignment horizontal="center"/>
    </xf>
    <xf numFmtId="0" fontId="0" fillId="5" borderId="0" xfId="0" applyFill="1"/>
    <xf numFmtId="165" fontId="0" fillId="5" borderId="0" xfId="0" applyNumberFormat="1" applyFill="1"/>
    <xf numFmtId="0" fontId="5" fillId="4" borderId="3" xfId="3"/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9" xfId="0" applyNumberFormat="1" applyBorder="1" applyAlignment="1">
      <alignment horizontal="center"/>
    </xf>
    <xf numFmtId="9" fontId="4" fillId="3" borderId="0" xfId="2" applyNumberFormat="1"/>
  </cellXfs>
  <cellStyles count="4">
    <cellStyle name="Célula de Verificação" xfId="3" builtinId="23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581026</xdr:colOff>
      <xdr:row>0</xdr:row>
      <xdr:rowOff>76200</xdr:rowOff>
    </xdr:from>
    <xdr:to>
      <xdr:col>4</xdr:col>
      <xdr:colOff>142875</xdr:colOff>
      <xdr:row>9</xdr:row>
      <xdr:rowOff>25392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4A7BE1A-3EAC-431D-91A1-373248B84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581026" y="76200"/>
          <a:ext cx="7810499" cy="1663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1E83-CA3C-414A-A914-9B2017890231}">
  <dimension ref="A10:F50"/>
  <sheetViews>
    <sheetView showGridLines="0" showRowColHeaders="0" tabSelected="1" topLeftCell="A7" zoomScaleNormal="100" workbookViewId="0">
      <selection activeCell="D29" sqref="D29"/>
    </sheetView>
  </sheetViews>
  <sheetFormatPr defaultColWidth="0" defaultRowHeight="15" x14ac:dyDescent="0.25"/>
  <cols>
    <col min="1" max="1" width="10.28515625" customWidth="1"/>
    <col min="2" max="2" width="51.5703125" customWidth="1"/>
    <col min="3" max="3" width="30.85546875" bestFit="1" customWidth="1"/>
    <col min="4" max="4" width="31" customWidth="1"/>
    <col min="5" max="5" width="5.5703125" customWidth="1"/>
    <col min="6" max="6" width="4.28515625" customWidth="1"/>
    <col min="7" max="7" width="9.140625" hidden="1" customWidth="1"/>
    <col min="8" max="16384" width="9.140625" hidden="1"/>
  </cols>
  <sheetData>
    <row r="10" spans="2:4" ht="15.75" thickBot="1" x14ac:dyDescent="0.3"/>
    <row r="11" spans="2:4" ht="26.25" x14ac:dyDescent="0.25">
      <c r="B11" s="32" t="s">
        <v>16</v>
      </c>
      <c r="C11" s="33"/>
      <c r="D11" s="34"/>
    </row>
    <row r="12" spans="2:4" ht="17.25" x14ac:dyDescent="0.3">
      <c r="B12" s="6" t="s">
        <v>13</v>
      </c>
      <c r="C12" s="7"/>
      <c r="D12" s="8">
        <v>5000</v>
      </c>
    </row>
    <row r="13" spans="2:4" ht="17.25" x14ac:dyDescent="0.3">
      <c r="B13" s="9" t="s">
        <v>14</v>
      </c>
      <c r="C13" s="10"/>
      <c r="D13" s="11">
        <v>6.0000000000000001E-3</v>
      </c>
    </row>
    <row r="14" spans="2:4" ht="18" thickBot="1" x14ac:dyDescent="0.35">
      <c r="B14" s="12" t="s">
        <v>15</v>
      </c>
      <c r="C14" s="13"/>
      <c r="D14" s="36">
        <f>D12*30%</f>
        <v>1500</v>
      </c>
    </row>
    <row r="15" spans="2:4" ht="15.75" thickBot="1" x14ac:dyDescent="0.3"/>
    <row r="16" spans="2:4" ht="25.5" customHeight="1" x14ac:dyDescent="0.25">
      <c r="B16" s="4" t="s">
        <v>5</v>
      </c>
      <c r="C16" s="5"/>
      <c r="D16" s="31"/>
    </row>
    <row r="17" spans="1:4" ht="18.75" x14ac:dyDescent="0.3">
      <c r="B17" s="37" t="s">
        <v>0</v>
      </c>
      <c r="C17" s="38"/>
      <c r="D17" s="39">
        <v>1500</v>
      </c>
    </row>
    <row r="18" spans="1:4" ht="18.75" x14ac:dyDescent="0.3">
      <c r="B18" s="37" t="s">
        <v>1</v>
      </c>
      <c r="C18" s="38"/>
      <c r="D18" s="14">
        <v>10</v>
      </c>
    </row>
    <row r="19" spans="1:4" ht="18.75" x14ac:dyDescent="0.3">
      <c r="B19" s="37" t="s">
        <v>2</v>
      </c>
      <c r="C19" s="38"/>
      <c r="D19" s="15">
        <v>1.0789999999999999E-2</v>
      </c>
    </row>
    <row r="20" spans="1:4" ht="18.75" x14ac:dyDescent="0.3">
      <c r="B20" s="16" t="s">
        <v>3</v>
      </c>
      <c r="C20" s="17"/>
      <c r="D20" s="18">
        <f>FV(taxa_mensal,qtd_anos*12,aporte)*-1</f>
        <v>364926.3187952583</v>
      </c>
    </row>
    <row r="21" spans="1:4" ht="19.5" thickBot="1" x14ac:dyDescent="0.35">
      <c r="B21" s="19" t="s">
        <v>4</v>
      </c>
      <c r="C21" s="20"/>
      <c r="D21" s="21">
        <f>patrimonio*rendimento_carteira</f>
        <v>2189.55791277155</v>
      </c>
    </row>
    <row r="22" spans="1:4" ht="15.75" thickBot="1" x14ac:dyDescent="0.3"/>
    <row r="23" spans="1:4" ht="26.25" x14ac:dyDescent="0.25">
      <c r="B23" s="4" t="s">
        <v>6</v>
      </c>
      <c r="C23" s="5"/>
      <c r="D23" s="35" t="s">
        <v>12</v>
      </c>
    </row>
    <row r="24" spans="1:4" ht="17.25" x14ac:dyDescent="0.3">
      <c r="A24" s="1">
        <v>2</v>
      </c>
      <c r="B24" s="22" t="s">
        <v>7</v>
      </c>
      <c r="C24" s="23">
        <f>FV($D$19,$A24*12,$D$17*-1)</f>
        <v>40841.440946467825</v>
      </c>
      <c r="D24" s="24">
        <f>C24*rendimento_carteira</f>
        <v>245.04864567880696</v>
      </c>
    </row>
    <row r="25" spans="1:4" ht="17.25" x14ac:dyDescent="0.3">
      <c r="A25" s="1">
        <v>5</v>
      </c>
      <c r="B25" s="25" t="s">
        <v>8</v>
      </c>
      <c r="C25" s="26">
        <f>FV($D$19,$A25*12,$D$17*-1)</f>
        <v>125665.37099773147</v>
      </c>
      <c r="D25" s="27">
        <f>C25*rendimento_carteira</f>
        <v>753.9922259863888</v>
      </c>
    </row>
    <row r="26" spans="1:4" ht="17.25" x14ac:dyDescent="0.3">
      <c r="A26" s="1">
        <v>10</v>
      </c>
      <c r="B26" s="25" t="s">
        <v>9</v>
      </c>
      <c r="C26" s="26">
        <f>FV($D$19,$A26*12,$D$17*-1)</f>
        <v>364926.3187952583</v>
      </c>
      <c r="D26" s="27">
        <f>C26*rendimento_carteira</f>
        <v>2189.55791277155</v>
      </c>
    </row>
    <row r="27" spans="1:4" ht="17.25" x14ac:dyDescent="0.3">
      <c r="A27" s="1">
        <v>20</v>
      </c>
      <c r="B27" s="25" t="s">
        <v>10</v>
      </c>
      <c r="C27" s="26">
        <f>FV($D$19,$A27*12,$D$17*-1)</f>
        <v>1687797.600145621</v>
      </c>
      <c r="D27" s="27">
        <f>C27*rendimento_carteira</f>
        <v>10126.785600873725</v>
      </c>
    </row>
    <row r="28" spans="1:4" ht="18" thickBot="1" x14ac:dyDescent="0.35">
      <c r="A28" s="1">
        <v>30</v>
      </c>
      <c r="B28" s="28" t="s">
        <v>11</v>
      </c>
      <c r="C28" s="29">
        <f>FV($D$19,$A28*12,$D$17*-1)</f>
        <v>6483254.4825070715</v>
      </c>
      <c r="D28" s="30">
        <f>C28*rendimento_carteira</f>
        <v>38899.526895042429</v>
      </c>
    </row>
    <row r="32" spans="1:4" x14ac:dyDescent="0.25">
      <c r="B32" s="40" t="s">
        <v>17</v>
      </c>
      <c r="C32" s="43" t="s">
        <v>31</v>
      </c>
      <c r="D32" s="40"/>
    </row>
    <row r="33" spans="2:4" x14ac:dyDescent="0.25">
      <c r="B33" s="41" t="s">
        <v>18</v>
      </c>
      <c r="C33" s="42">
        <f>aporte</f>
        <v>1500</v>
      </c>
      <c r="D33" s="41"/>
    </row>
    <row r="35" spans="2:4" x14ac:dyDescent="0.25">
      <c r="B35" s="45" t="s">
        <v>19</v>
      </c>
      <c r="C35" s="45" t="s">
        <v>20</v>
      </c>
      <c r="D35" s="45" t="s">
        <v>21</v>
      </c>
    </row>
    <row r="36" spans="2:4" x14ac:dyDescent="0.25">
      <c r="B36" s="2" t="s">
        <v>22</v>
      </c>
      <c r="C36" s="3">
        <f>VLOOKUP($C$32&amp;"-"&amp;B36,Planilha1!$B:$E,4,FALSE)</f>
        <v>0.32</v>
      </c>
      <c r="D36" s="44">
        <f>C36*$C$33</f>
        <v>480</v>
      </c>
    </row>
    <row r="37" spans="2:4" x14ac:dyDescent="0.25">
      <c r="B37" s="2" t="s">
        <v>23</v>
      </c>
      <c r="C37" s="3">
        <f>VLOOKUP($C$32&amp;"-"&amp;B37,Planilha1!$B:$E,4,FALSE)</f>
        <v>0.35</v>
      </c>
      <c r="D37" s="44">
        <f t="shared" ref="D37:D41" si="0">C37*$C$33</f>
        <v>525</v>
      </c>
    </row>
    <row r="38" spans="2:4" x14ac:dyDescent="0.25">
      <c r="B38" s="2" t="s">
        <v>24</v>
      </c>
      <c r="C38" s="3">
        <f>VLOOKUP($C$32&amp;"-"&amp;B38,Planilha1!$B:$E,4,FALSE)</f>
        <v>0.08</v>
      </c>
      <c r="D38" s="44">
        <f t="shared" si="0"/>
        <v>120</v>
      </c>
    </row>
    <row r="39" spans="2:4" x14ac:dyDescent="0.25">
      <c r="B39" s="2" t="s">
        <v>25</v>
      </c>
      <c r="C39" s="3">
        <f>VLOOKUP($C$32&amp;"-"&amp;B39,Planilha1!$B:$E,4,FALSE)</f>
        <v>0.05</v>
      </c>
      <c r="D39" s="44">
        <f t="shared" si="0"/>
        <v>75</v>
      </c>
    </row>
    <row r="40" spans="2:4" x14ac:dyDescent="0.25">
      <c r="B40" s="2" t="s">
        <v>26</v>
      </c>
      <c r="C40" s="3">
        <f>VLOOKUP($C$32&amp;"-"&amp;B40,Planilha1!$B:$E,4,FALSE)</f>
        <v>0.1</v>
      </c>
      <c r="D40" s="44">
        <f t="shared" si="0"/>
        <v>150</v>
      </c>
    </row>
    <row r="41" spans="2:4" x14ac:dyDescent="0.25">
      <c r="B41" s="2" t="s">
        <v>27</v>
      </c>
      <c r="C41" s="3">
        <f>VLOOKUP($C$32&amp;"-"&amp;B41,Planilha1!$B:$E,4,FALSE)</f>
        <v>0.1</v>
      </c>
      <c r="D41" s="44">
        <f t="shared" si="0"/>
        <v>150</v>
      </c>
    </row>
    <row r="42" spans="2:4" x14ac:dyDescent="0.25">
      <c r="B42" s="46"/>
      <c r="C42" s="46"/>
      <c r="D42" s="47">
        <f>SUM(D36:D41)</f>
        <v>1500</v>
      </c>
    </row>
    <row r="49" customFormat="1" x14ac:dyDescent="0.25"/>
    <row r="50" customFormat="1" x14ac:dyDescent="0.25"/>
  </sheetData>
  <mergeCells count="11"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  <mergeCell ref="B16:D16"/>
  </mergeCells>
  <dataValidations disablePrompts="1" count="1">
    <dataValidation type="list" allowBlank="1" showInputMessage="1" showErrorMessage="1" sqref="C32" xr:uid="{419C1C0D-1F06-43A4-A516-EF18A879654E}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DEAB-A336-4F76-BD90-C144DC8BD7C6}">
  <dimension ref="B5:H24"/>
  <sheetViews>
    <sheetView workbookViewId="0">
      <selection activeCell="E17" sqref="E17"/>
    </sheetView>
  </sheetViews>
  <sheetFormatPr defaultRowHeight="15" x14ac:dyDescent="0.25"/>
  <cols>
    <col min="2" max="2" width="33" bestFit="1" customWidth="1"/>
    <col min="3" max="3" width="14.42578125" bestFit="1" customWidth="1"/>
    <col min="4" max="4" width="18.5703125" bestFit="1" customWidth="1"/>
    <col min="5" max="5" width="13.140625" bestFit="1" customWidth="1"/>
    <col min="7" max="7" width="16.85546875" bestFit="1" customWidth="1"/>
    <col min="8" max="8" width="10" bestFit="1" customWidth="1"/>
  </cols>
  <sheetData>
    <row r="5" spans="2:8" ht="15.75" thickBot="1" x14ac:dyDescent="0.3"/>
    <row r="6" spans="2:8" ht="16.5" thickTop="1" thickBot="1" x14ac:dyDescent="0.3">
      <c r="B6" s="48" t="s">
        <v>30</v>
      </c>
      <c r="C6" s="48" t="s">
        <v>17</v>
      </c>
      <c r="D6" s="48" t="s">
        <v>19</v>
      </c>
      <c r="E6" s="48" t="s">
        <v>29</v>
      </c>
      <c r="H6" t="s">
        <v>29</v>
      </c>
    </row>
    <row r="7" spans="2:8" ht="15.75" thickTop="1" x14ac:dyDescent="0.25">
      <c r="B7" t="str">
        <f>C7&amp;"-"&amp;D7</f>
        <v>Conservador-PAPEL</v>
      </c>
      <c r="C7" t="s">
        <v>28</v>
      </c>
      <c r="D7" s="2" t="s">
        <v>22</v>
      </c>
      <c r="E7" s="51">
        <v>0.3</v>
      </c>
      <c r="G7" s="40" t="s">
        <v>33</v>
      </c>
      <c r="H7" s="53">
        <f>VLOOKUP(B14,$B:$E,4,FALSE)</f>
        <v>0.35</v>
      </c>
    </row>
    <row r="8" spans="2:8" x14ac:dyDescent="0.25">
      <c r="B8" t="str">
        <f t="shared" ref="B8:B24" si="0">C8&amp;"-"&amp;D8</f>
        <v>Conservador-TIJOLO</v>
      </c>
      <c r="C8" t="s">
        <v>28</v>
      </c>
      <c r="D8" s="2" t="s">
        <v>23</v>
      </c>
      <c r="E8" s="51">
        <v>0.5</v>
      </c>
    </row>
    <row r="9" spans="2:8" x14ac:dyDescent="0.25">
      <c r="B9" t="str">
        <f t="shared" si="0"/>
        <v>Conservador-HIBRIDOS</v>
      </c>
      <c r="C9" t="s">
        <v>28</v>
      </c>
      <c r="D9" s="2" t="s">
        <v>24</v>
      </c>
      <c r="E9" s="51">
        <v>0.1</v>
      </c>
    </row>
    <row r="10" spans="2:8" x14ac:dyDescent="0.25">
      <c r="B10" t="str">
        <f t="shared" si="0"/>
        <v>Conservador-FOFs</v>
      </c>
      <c r="C10" t="s">
        <v>28</v>
      </c>
      <c r="D10" s="2" t="s">
        <v>25</v>
      </c>
      <c r="E10" s="51">
        <v>0.1</v>
      </c>
    </row>
    <row r="11" spans="2:8" x14ac:dyDescent="0.25">
      <c r="B11" t="str">
        <f t="shared" si="0"/>
        <v>Conservador-DESENVOLVIMENTO</v>
      </c>
      <c r="C11" t="s">
        <v>28</v>
      </c>
      <c r="D11" s="2" t="s">
        <v>26</v>
      </c>
      <c r="E11" s="51">
        <v>0</v>
      </c>
    </row>
    <row r="12" spans="2:8" ht="15.75" thickBot="1" x14ac:dyDescent="0.3">
      <c r="B12" s="49" t="str">
        <f t="shared" si="0"/>
        <v>Conservador-HOTELARIAS</v>
      </c>
      <c r="C12" s="49" t="s">
        <v>28</v>
      </c>
      <c r="D12" s="50" t="s">
        <v>27</v>
      </c>
      <c r="E12" s="52">
        <v>0</v>
      </c>
    </row>
    <row r="13" spans="2:8" x14ac:dyDescent="0.25">
      <c r="B13" t="str">
        <f t="shared" si="0"/>
        <v>Moderado-PAPEL</v>
      </c>
      <c r="C13" t="s">
        <v>31</v>
      </c>
      <c r="D13" s="2" t="s">
        <v>22</v>
      </c>
      <c r="E13" s="51">
        <v>0.32</v>
      </c>
    </row>
    <row r="14" spans="2:8" x14ac:dyDescent="0.25">
      <c r="B14" t="str">
        <f t="shared" si="0"/>
        <v>Moderado-TIJOLO</v>
      </c>
      <c r="C14" t="s">
        <v>31</v>
      </c>
      <c r="D14" s="2" t="s">
        <v>23</v>
      </c>
      <c r="E14" s="51">
        <v>0.35</v>
      </c>
    </row>
    <row r="15" spans="2:8" x14ac:dyDescent="0.25">
      <c r="B15" t="str">
        <f t="shared" si="0"/>
        <v>Moderado-HIBRIDOS</v>
      </c>
      <c r="C15" t="s">
        <v>31</v>
      </c>
      <c r="D15" s="2" t="s">
        <v>24</v>
      </c>
      <c r="E15" s="51">
        <v>0.08</v>
      </c>
    </row>
    <row r="16" spans="2:8" x14ac:dyDescent="0.25">
      <c r="B16" t="str">
        <f t="shared" si="0"/>
        <v>Moderado-FOFs</v>
      </c>
      <c r="C16" t="s">
        <v>31</v>
      </c>
      <c r="D16" s="2" t="s">
        <v>25</v>
      </c>
      <c r="E16" s="51">
        <v>0.05</v>
      </c>
    </row>
    <row r="17" spans="2:5" x14ac:dyDescent="0.25">
      <c r="B17" t="str">
        <f t="shared" si="0"/>
        <v>Moderado-DESENVOLVIMENTO</v>
      </c>
      <c r="C17" t="s">
        <v>31</v>
      </c>
      <c r="D17" s="2" t="s">
        <v>26</v>
      </c>
      <c r="E17" s="51">
        <v>0.1</v>
      </c>
    </row>
    <row r="18" spans="2:5" ht="15.75" thickBot="1" x14ac:dyDescent="0.3">
      <c r="B18" s="49" t="str">
        <f t="shared" si="0"/>
        <v>Moderado-HOTELARIAS</v>
      </c>
      <c r="C18" s="49" t="s">
        <v>31</v>
      </c>
      <c r="D18" s="50" t="s">
        <v>27</v>
      </c>
      <c r="E18" s="52">
        <v>0.1</v>
      </c>
    </row>
    <row r="19" spans="2:5" x14ac:dyDescent="0.25">
      <c r="B19" t="str">
        <f t="shared" si="0"/>
        <v>Agressivo-PAPEL</v>
      </c>
      <c r="C19" t="s">
        <v>32</v>
      </c>
      <c r="D19" s="2" t="s">
        <v>22</v>
      </c>
      <c r="E19" s="51">
        <v>0.5</v>
      </c>
    </row>
    <row r="20" spans="2:5" x14ac:dyDescent="0.25">
      <c r="B20" t="str">
        <f t="shared" si="0"/>
        <v>Agressivo-TIJOLO</v>
      </c>
      <c r="C20" t="s">
        <v>32</v>
      </c>
      <c r="D20" s="2" t="s">
        <v>23</v>
      </c>
      <c r="E20" s="51">
        <v>0.1</v>
      </c>
    </row>
    <row r="21" spans="2:5" x14ac:dyDescent="0.25">
      <c r="B21" t="str">
        <f t="shared" si="0"/>
        <v>Agressivo-HIBRIDOS</v>
      </c>
      <c r="C21" t="s">
        <v>32</v>
      </c>
      <c r="D21" s="2" t="s">
        <v>24</v>
      </c>
      <c r="E21" s="51">
        <v>0.05</v>
      </c>
    </row>
    <row r="22" spans="2:5" x14ac:dyDescent="0.25">
      <c r="B22" t="str">
        <f t="shared" si="0"/>
        <v>Agressivo-FOFs</v>
      </c>
      <c r="C22" t="s">
        <v>32</v>
      </c>
      <c r="D22" s="2" t="s">
        <v>25</v>
      </c>
      <c r="E22" s="51">
        <v>0.05</v>
      </c>
    </row>
    <row r="23" spans="2:5" x14ac:dyDescent="0.25">
      <c r="B23" t="str">
        <f t="shared" si="0"/>
        <v>Agressivo-DESENVOLVIMENTO</v>
      </c>
      <c r="C23" t="s">
        <v>32</v>
      </c>
      <c r="D23" s="2" t="s">
        <v>26</v>
      </c>
      <c r="E23" s="51">
        <v>0.2</v>
      </c>
    </row>
    <row r="24" spans="2:5" x14ac:dyDescent="0.25">
      <c r="B24" t="str">
        <f t="shared" si="0"/>
        <v>Agressivo-HOTELARIAS</v>
      </c>
      <c r="C24" t="s">
        <v>32</v>
      </c>
      <c r="D24" s="2" t="s">
        <v>27</v>
      </c>
      <c r="E24" s="5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Sheet1</vt:lpstr>
      <vt:lpstr>Planilha1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2026-01-28T19:56:23Z</dcterms:created>
  <dcterms:modified xsi:type="dcterms:W3CDTF">2026-01-29T18:14:09Z</dcterms:modified>
</cp:coreProperties>
</file>